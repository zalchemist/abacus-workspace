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C_Placanja_GK" sheetId="1" state="visible" r:id="rId1"/>
    <sheet xmlns:r="http://schemas.openxmlformats.org/officeDocument/2006/relationships" name="EBC_Fakture_Dosi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407]#,##0.00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1" fillId="3" borderId="0" pivotButton="0" quotePrefix="0" xfId="0"/>
    <xf numFmtId="0" fontId="1" fillId="3" borderId="0" pivotButton="0" quotePrefix="0" xfId="0"/>
    <xf numFmtId="165" fontId="1" fillId="3" borderId="0" pivotButton="0" quotePrefix="0" xfId="0"/>
    <xf numFmtId="166" fontId="1" fillId="4" borderId="0" pivotButton="0" quotePrefix="0" xfId="0"/>
    <xf numFmtId="0" fontId="1" fillId="4" borderId="0" pivotButton="0" quotePrefix="0" xfId="0"/>
    <xf numFmtId="165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5" max="5"/>
    <col width="20" customWidth="1" min="6" max="6"/>
    <col width="25" customWidth="1" min="7" max="7"/>
  </cols>
  <sheetData>
    <row r="1">
      <c r="A1" s="1" t="inlineStr">
        <is>
          <t>Datum</t>
        </is>
      </c>
      <c r="B1" s="1" t="inlineStr">
        <is>
          <t>Broj naloga</t>
        </is>
      </c>
      <c r="C1" s="1" t="inlineStr">
        <is>
          <t>VD</t>
        </is>
      </c>
      <c r="D1" s="1" t="inlineStr">
        <is>
          <t>Konto</t>
        </is>
      </c>
      <c r="E1" s="1" t="inlineStr">
        <is>
          <t>Duguje</t>
        </is>
      </c>
      <c r="F1" s="1" t="inlineStr">
        <is>
          <t>Potrazuje</t>
        </is>
      </c>
      <c r="G1" s="1" t="inlineStr">
        <is>
          <t>Opis</t>
        </is>
      </c>
    </row>
    <row r="2">
      <c r="A2" s="2" t="n">
        <v>45558</v>
      </c>
      <c r="B2" t="inlineStr">
        <is>
          <t>IZ190-003/6</t>
        </is>
      </c>
      <c r="C2" t="inlineStr">
        <is>
          <t>IZ</t>
        </is>
      </c>
      <c r="D2" t="inlineStr">
        <is>
          <t>4350</t>
        </is>
      </c>
      <c r="E2" s="3" t="n">
        <v>105364530</v>
      </c>
      <c r="F2" s="3" t="n"/>
      <c r="G2" t="inlineStr"/>
    </row>
    <row r="3">
      <c r="A3" s="2" t="n">
        <v>45565</v>
      </c>
      <c r="B3" t="inlineStr">
        <is>
          <t>IZ160-196</t>
        </is>
      </c>
      <c r="C3" t="inlineStr">
        <is>
          <t>IZ</t>
        </is>
      </c>
      <c r="D3" t="inlineStr">
        <is>
          <t>2040</t>
        </is>
      </c>
      <c r="E3" s="3" t="n"/>
      <c r="F3" s="3" t="n">
        <v>11750000</v>
      </c>
      <c r="G3" t="inlineStr"/>
    </row>
    <row r="4">
      <c r="A4" s="2" t="n">
        <v>45604</v>
      </c>
      <c r="B4" t="inlineStr">
        <is>
          <t>IZ190-023</t>
        </is>
      </c>
      <c r="C4" t="inlineStr">
        <is>
          <t>IZ</t>
        </is>
      </c>
      <c r="D4" t="inlineStr">
        <is>
          <t>4350</t>
        </is>
      </c>
      <c r="E4" s="3" t="n">
        <v>4000000</v>
      </c>
      <c r="F4" s="3" t="n"/>
      <c r="G4" t="inlineStr"/>
    </row>
    <row r="5">
      <c r="A5" s="2" t="n">
        <v>45622</v>
      </c>
      <c r="B5" t="inlineStr">
        <is>
          <t>IZ160-236</t>
        </is>
      </c>
      <c r="C5" t="inlineStr">
        <is>
          <t>IZ</t>
        </is>
      </c>
      <c r="D5" t="inlineStr">
        <is>
          <t>4350</t>
        </is>
      </c>
      <c r="E5" s="3" t="n">
        <v>2000000</v>
      </c>
      <c r="F5" s="3" t="n"/>
      <c r="G5" t="inlineStr"/>
    </row>
    <row r="6">
      <c r="A6" s="2" t="n">
        <v>45643</v>
      </c>
      <c r="B6" t="inlineStr">
        <is>
          <t>IZ190-036</t>
        </is>
      </c>
      <c r="C6" t="inlineStr">
        <is>
          <t>IZ</t>
        </is>
      </c>
      <c r="D6" t="inlineStr">
        <is>
          <t>4350</t>
        </is>
      </c>
      <c r="E6" s="3" t="n">
        <v>11000000</v>
      </c>
      <c r="F6" s="3" t="n"/>
      <c r="G6" t="inlineStr"/>
    </row>
    <row r="7">
      <c r="A7" s="2" t="n">
        <v>45650</v>
      </c>
      <c r="B7" t="inlineStr">
        <is>
          <t>IZ190-040</t>
        </is>
      </c>
      <c r="C7" t="inlineStr">
        <is>
          <t>IZ</t>
        </is>
      </c>
      <c r="D7" t="inlineStr">
        <is>
          <t>4350</t>
        </is>
      </c>
      <c r="E7" s="3" t="n">
        <v>5000000</v>
      </c>
      <c r="F7" s="3" t="n"/>
      <c r="G7" t="inlineStr"/>
    </row>
    <row r="8">
      <c r="A8" s="2" t="n">
        <v>45831</v>
      </c>
      <c r="B8" t="inlineStr">
        <is>
          <t>IZ190-072/2</t>
        </is>
      </c>
      <c r="C8" t="inlineStr">
        <is>
          <t>IZ</t>
        </is>
      </c>
      <c r="D8" t="inlineStr">
        <is>
          <t>4350</t>
        </is>
      </c>
      <c r="E8" s="3" t="n">
        <v>2000000</v>
      </c>
      <c r="F8" s="3" t="n"/>
      <c r="G8" t="inlineStr">
        <is>
          <t>Izvod br. 072</t>
        </is>
      </c>
    </row>
    <row r="9">
      <c r="A9" s="2" t="n">
        <v>45868</v>
      </c>
      <c r="B9" t="inlineStr">
        <is>
          <t>IZ190-098</t>
        </is>
      </c>
      <c r="C9" t="inlineStr">
        <is>
          <t>IZ</t>
        </is>
      </c>
      <c r="D9" t="inlineStr">
        <is>
          <t>4350</t>
        </is>
      </c>
      <c r="E9" s="3" t="n">
        <v>1200000</v>
      </c>
      <c r="F9" s="3" t="n"/>
      <c r="G9" t="inlineStr">
        <is>
          <t>Izvod br. 098</t>
        </is>
      </c>
    </row>
    <row r="10">
      <c r="A10" s="2" t="n">
        <v>45870</v>
      </c>
      <c r="B10" t="inlineStr">
        <is>
          <t>IZ190-100</t>
        </is>
      </c>
      <c r="C10" t="inlineStr">
        <is>
          <t>IZ</t>
        </is>
      </c>
      <c r="D10" t="inlineStr">
        <is>
          <t>4350</t>
        </is>
      </c>
      <c r="E10" s="3" t="n">
        <v>1000000</v>
      </c>
      <c r="F10" s="3" t="n"/>
      <c r="G10" t="inlineStr">
        <is>
          <t>Izvod br. 100</t>
        </is>
      </c>
    </row>
    <row r="11">
      <c r="A11" s="2" t="n">
        <v>45884</v>
      </c>
      <c r="B11" t="inlineStr">
        <is>
          <t>IZ190-110/2</t>
        </is>
      </c>
      <c r="C11" t="inlineStr">
        <is>
          <t>IZ</t>
        </is>
      </c>
      <c r="D11" t="inlineStr">
        <is>
          <t>4350</t>
        </is>
      </c>
      <c r="E11" s="3" t="n">
        <v>3000000</v>
      </c>
      <c r="F11" s="3" t="n"/>
      <c r="G11" t="inlineStr">
        <is>
          <t>Izvod br. 110</t>
        </is>
      </c>
    </row>
    <row r="12">
      <c r="A12" s="2" t="n">
        <v>45898</v>
      </c>
      <c r="B12" t="inlineStr">
        <is>
          <t>IZ190-120</t>
        </is>
      </c>
      <c r="C12" t="inlineStr">
        <is>
          <t>IZ</t>
        </is>
      </c>
      <c r="D12" t="inlineStr">
        <is>
          <t>4350</t>
        </is>
      </c>
      <c r="E12" s="3" t="n">
        <v>1760743.41</v>
      </c>
      <c r="F12" s="3" t="n"/>
      <c r="G12" t="inlineStr">
        <is>
          <t>Izvod br. 120</t>
        </is>
      </c>
    </row>
    <row r="13">
      <c r="A13" s="2" t="n">
        <v>45989</v>
      </c>
      <c r="B13" t="inlineStr">
        <is>
          <t>IZ190-185/2</t>
        </is>
      </c>
      <c r="C13" t="inlineStr">
        <is>
          <t>IZ</t>
        </is>
      </c>
      <c r="D13" t="inlineStr">
        <is>
          <t>4350</t>
        </is>
      </c>
      <c r="E13" s="3" t="n">
        <v>1652815.9</v>
      </c>
      <c r="F13" s="3" t="n"/>
      <c r="G13" t="inlineStr">
        <is>
          <t>Izvod br. 185</t>
        </is>
      </c>
    </row>
    <row r="14">
      <c r="A14" s="2" t="n">
        <v>46015</v>
      </c>
      <c r="B14" t="inlineStr">
        <is>
          <t>IZ190-202/2</t>
        </is>
      </c>
      <c r="C14" t="inlineStr">
        <is>
          <t>IZ</t>
        </is>
      </c>
      <c r="D14" t="inlineStr">
        <is>
          <t>4350</t>
        </is>
      </c>
      <c r="E14" s="3" t="n">
        <v>19000000</v>
      </c>
      <c r="F14" s="3" t="n"/>
      <c r="G14" t="inlineStr">
        <is>
          <t>Izvod br. 202</t>
        </is>
      </c>
    </row>
    <row r="15">
      <c r="A15" s="2" t="n">
        <v>46016</v>
      </c>
      <c r="B15" t="inlineStr">
        <is>
          <t>IZ190-203/2</t>
        </is>
      </c>
      <c r="C15" t="inlineStr">
        <is>
          <t>IZ</t>
        </is>
      </c>
      <c r="D15" t="inlineStr">
        <is>
          <t>2040</t>
        </is>
      </c>
      <c r="E15" s="3" t="n"/>
      <c r="F15" s="3" t="n">
        <v>19000000</v>
      </c>
      <c r="G15" t="inlineStr">
        <is>
          <t>Izvod br. 203</t>
        </is>
      </c>
    </row>
    <row r="16">
      <c r="A16" s="2" t="n">
        <v>46016</v>
      </c>
      <c r="B16" t="inlineStr">
        <is>
          <t>IZ190-203/2</t>
        </is>
      </c>
      <c r="C16" t="inlineStr">
        <is>
          <t>IZ</t>
        </is>
      </c>
      <c r="D16" t="inlineStr">
        <is>
          <t>4350</t>
        </is>
      </c>
      <c r="E16" s="3" t="n">
        <v>19000000</v>
      </c>
      <c r="F16" s="3" t="n"/>
      <c r="G16" t="inlineStr">
        <is>
          <t>Izvod br. 203</t>
        </is>
      </c>
    </row>
    <row r="17">
      <c r="A17" s="2" t="n">
        <v>46016</v>
      </c>
      <c r="B17" t="inlineStr">
        <is>
          <t>IZ190-203/2</t>
        </is>
      </c>
      <c r="C17" t="inlineStr">
        <is>
          <t>IZ</t>
        </is>
      </c>
      <c r="D17" t="inlineStr">
        <is>
          <t>2040</t>
        </is>
      </c>
      <c r="E17" s="3" t="n"/>
      <c r="F17" s="3" t="n">
        <v>19000000</v>
      </c>
      <c r="G17" t="inlineStr">
        <is>
          <t>Izvod br. 203</t>
        </is>
      </c>
    </row>
    <row r="18">
      <c r="A18" s="2" t="n">
        <v>46016</v>
      </c>
      <c r="B18" t="inlineStr">
        <is>
          <t>IZ190-203/2</t>
        </is>
      </c>
      <c r="C18" t="inlineStr">
        <is>
          <t>IZ</t>
        </is>
      </c>
      <c r="D18" t="inlineStr">
        <is>
          <t>4350</t>
        </is>
      </c>
      <c r="E18" s="3" t="n">
        <v>19000000</v>
      </c>
      <c r="F18" s="3" t="n"/>
      <c r="G18" t="inlineStr">
        <is>
          <t>Izvod br. 203</t>
        </is>
      </c>
    </row>
    <row r="19">
      <c r="A19" s="2" t="n">
        <v>46017</v>
      </c>
      <c r="B19" t="inlineStr">
        <is>
          <t>IZ190-204</t>
        </is>
      </c>
      <c r="C19" t="inlineStr">
        <is>
          <t>IZ</t>
        </is>
      </c>
      <c r="D19" t="inlineStr">
        <is>
          <t>2040</t>
        </is>
      </c>
      <c r="E19" s="3" t="n"/>
      <c r="F19" s="3" t="n">
        <v>7780084.56</v>
      </c>
      <c r="G19" t="inlineStr">
        <is>
          <t>Izvod br. 204</t>
        </is>
      </c>
    </row>
    <row r="20">
      <c r="A20" s="2" t="n">
        <v>46017</v>
      </c>
      <c r="B20" t="inlineStr">
        <is>
          <t>IZ190-204</t>
        </is>
      </c>
      <c r="C20" t="inlineStr">
        <is>
          <t>IZ</t>
        </is>
      </c>
      <c r="D20" t="inlineStr">
        <is>
          <t>4350</t>
        </is>
      </c>
      <c r="E20" s="3" t="n">
        <v>9749780.939999999</v>
      </c>
      <c r="F20" s="3" t="n"/>
      <c r="G20" t="inlineStr">
        <is>
          <t>Izvod br. 204</t>
        </is>
      </c>
    </row>
    <row r="21">
      <c r="A21" s="2" t="n">
        <v>46017</v>
      </c>
      <c r="B21" t="inlineStr">
        <is>
          <t>IZ190-204</t>
        </is>
      </c>
      <c r="C21" t="inlineStr">
        <is>
          <t>IZ</t>
        </is>
      </c>
      <c r="D21" t="inlineStr">
        <is>
          <t>4350</t>
        </is>
      </c>
      <c r="E21" s="3" t="n">
        <v>9250219.060000001</v>
      </c>
      <c r="F21" s="3" t="n"/>
      <c r="G21" t="inlineStr">
        <is>
          <t>Izvod br. 204</t>
        </is>
      </c>
    </row>
    <row r="22">
      <c r="A22" s="2" t="n">
        <v>46017</v>
      </c>
      <c r="B22" t="inlineStr">
        <is>
          <t>IZ190-204</t>
        </is>
      </c>
      <c r="C22" t="inlineStr">
        <is>
          <t>IZ</t>
        </is>
      </c>
      <c r="D22" t="inlineStr">
        <is>
          <t>4350</t>
        </is>
      </c>
      <c r="E22" s="3" t="n">
        <v>19000000</v>
      </c>
      <c r="F22" s="3" t="n"/>
      <c r="G22" t="inlineStr">
        <is>
          <t>Izvod br. 204</t>
        </is>
      </c>
    </row>
    <row r="23">
      <c r="A23" s="2" t="n">
        <v>46020</v>
      </c>
      <c r="B23" t="inlineStr">
        <is>
          <t>IZ190-206</t>
        </is>
      </c>
      <c r="C23" t="inlineStr">
        <is>
          <t>IZ</t>
        </is>
      </c>
      <c r="D23" t="inlineStr">
        <is>
          <t>4350</t>
        </is>
      </c>
      <c r="E23" s="3" t="n">
        <v>16260379</v>
      </c>
      <c r="F23" s="3" t="n"/>
      <c r="G23" t="inlineStr">
        <is>
          <t>Izvod br. 206</t>
        </is>
      </c>
    </row>
    <row r="24">
      <c r="A24" s="4" t="inlineStr">
        <is>
          <t>UKUPNO</t>
        </is>
      </c>
      <c r="B24" s="5" t="inlineStr"/>
      <c r="C24" s="5" t="inlineStr"/>
      <c r="D24" s="5" t="inlineStr"/>
      <c r="E24" s="6">
        <f>SUM(E2:E23)</f>
        <v/>
      </c>
      <c r="F24" s="6">
        <f>SUM(F2:F23)</f>
        <v/>
      </c>
      <c r="G24" s="5" t="inlineStr"/>
    </row>
    <row r="25">
      <c r="A25" s="7" t="inlineStr">
        <is>
          <t>NETO (Duguje - Potražuje)</t>
        </is>
      </c>
      <c r="B25" s="8" t="inlineStr"/>
      <c r="C25" s="8" t="inlineStr"/>
      <c r="D25" s="8" t="inlineStr"/>
      <c r="E25" s="9">
        <f>E24 - F24</f>
        <v/>
      </c>
      <c r="F25" s="9" t="inlineStr"/>
      <c r="G2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5" max="5"/>
    <col width="22" customWidth="1" min="6" max="6"/>
    <col width="22" customWidth="1" min="7" max="7"/>
  </cols>
  <sheetData>
    <row r="1">
      <c r="A1" s="1" t="inlineStr">
        <is>
          <t>Tip</t>
        </is>
      </c>
      <c r="B1" s="1" t="inlineStr">
        <is>
          <t>Br. fakture</t>
        </is>
      </c>
      <c r="C1" s="1" t="inlineStr">
        <is>
          <t>Datum</t>
        </is>
      </c>
      <c r="D1" s="1" t="inlineStr">
        <is>
          <t>Dobavljac</t>
        </is>
      </c>
      <c r="E1" s="1" t="inlineStr">
        <is>
          <t>Osnovica (RSD)</t>
        </is>
      </c>
      <c r="F1" s="1" t="inlineStr">
        <is>
          <t>PDV (RSD)</t>
        </is>
      </c>
      <c r="G1" s="1" t="inlineStr">
        <is>
          <t>Ukupno (RSD)</t>
        </is>
      </c>
    </row>
    <row r="2">
      <c r="A2" t="inlineStr">
        <is>
          <t>e_faktura_knjiziti</t>
        </is>
      </c>
      <c r="B2" t="inlineStr">
        <is>
          <t>2025-79</t>
        </is>
      </c>
      <c r="C2" t="inlineStr">
        <is>
          <t>02.10.2025</t>
        </is>
      </c>
      <c r="D2" t="inlineStr">
        <is>
          <t>EBC S NEW CONSTRUCTION TECHNOLOGY</t>
        </is>
      </c>
      <c r="E2" s="3" t="n">
        <v>68171732.84</v>
      </c>
      <c r="F2" s="3" t="n">
        <v>230864</v>
      </c>
      <c r="G2" s="3" t="n">
        <v>68402596.84</v>
      </c>
    </row>
    <row r="3">
      <c r="A3" t="inlineStr">
        <is>
          <t>e_faktura_knjiziti</t>
        </is>
      </c>
      <c r="B3" t="inlineStr">
        <is>
          <t>2024-44</t>
        </is>
      </c>
      <c r="C3" t="inlineStr">
        <is>
          <t>19.09.2024</t>
        </is>
      </c>
      <c r="D3" t="inlineStr">
        <is>
          <t>EBC S NEW CONSTRUCTION TECHNOLOGY</t>
        </is>
      </c>
      <c r="E3" s="3" t="n">
        <v>144856374.07</v>
      </c>
      <c r="F3" s="3" t="n">
        <v>6804646.42</v>
      </c>
      <c r="G3" s="3" t="n">
        <v>151661020.49</v>
      </c>
    </row>
    <row r="4">
      <c r="A4" t="inlineStr">
        <is>
          <t>e_faktura_knjiziti</t>
        </is>
      </c>
      <c r="B4" t="inlineStr">
        <is>
          <t>2025-106</t>
        </is>
      </c>
      <c r="C4" t="inlineStr">
        <is>
          <t>25.12.2025</t>
        </is>
      </c>
      <c r="D4" t="inlineStr">
        <is>
          <t>EBC S NEW CONSTRUCTION TECHNOLOGY</t>
        </is>
      </c>
      <c r="E4" s="3" t="n">
        <v>37092165</v>
      </c>
      <c r="F4" s="3" t="n">
        <v>7418433</v>
      </c>
      <c r="G4" s="3" t="n">
        <v>44510598</v>
      </c>
    </row>
    <row r="5">
      <c r="A5" s="5" t="inlineStr">
        <is>
          <t>UKUPNO</t>
        </is>
      </c>
      <c r="B5" s="5" t="inlineStr"/>
      <c r="C5" s="5" t="inlineStr"/>
      <c r="D5" s="5" t="inlineStr"/>
      <c r="E5" s="6">
        <f>SUM(E2:E4)</f>
        <v/>
      </c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2026-04-01T07:39:05Z</dcterms:created>
  <dcterms:modified xmlns:dcterms="http://purl.org/dc/terms/" xmlns:xsi="http://www.w3.org/2001/XMLSchema-instance" xsi:type="dcterms:W3CDTF">2026-04-01T07:39:05Z</dcterms:modified>
</cp:coreProperties>
</file>